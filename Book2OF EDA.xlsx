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ush\OneDrive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E5" i="1"/>
  <c r="E9" i="1"/>
  <c r="E15" i="1"/>
  <c r="E12" i="1"/>
  <c r="E14" i="1"/>
  <c r="E6" i="1"/>
  <c r="E4" i="1"/>
  <c r="F8" i="1" s="1"/>
  <c r="E8" i="1"/>
  <c r="F7" i="1" s="1"/>
  <c r="E7" i="1"/>
  <c r="F10" i="1" s="1"/>
  <c r="E10" i="1"/>
  <c r="F16" i="1" s="1"/>
  <c r="E16" i="1"/>
  <c r="F17" i="1" s="1"/>
  <c r="E17" i="1"/>
  <c r="F15" i="1" s="1"/>
  <c r="E13" i="1"/>
  <c r="E11" i="1"/>
  <c r="F12" i="1"/>
  <c r="F3" i="1"/>
  <c r="E3" i="1"/>
  <c r="F4" i="1" s="1"/>
  <c r="F5" i="1" l="1"/>
  <c r="F11" i="1"/>
  <c r="F14" i="1"/>
  <c r="F6" i="1"/>
  <c r="C20" i="1"/>
  <c r="F9" i="1"/>
  <c r="F13" i="1"/>
  <c r="D20" i="1"/>
</calcChain>
</file>

<file path=xl/sharedStrings.xml><?xml version="1.0" encoding="utf-8"?>
<sst xmlns="http://schemas.openxmlformats.org/spreadsheetml/2006/main" count="28" uniqueCount="28">
  <si>
    <t>NAME</t>
  </si>
  <si>
    <t>MATH</t>
  </si>
  <si>
    <t>ENGLISH</t>
  </si>
  <si>
    <t>SCIENCE</t>
  </si>
  <si>
    <t>TOTAL</t>
  </si>
  <si>
    <t>RESULT</t>
  </si>
  <si>
    <t>AMAN</t>
  </si>
  <si>
    <t>AYUSH</t>
  </si>
  <si>
    <t>RAHUL</t>
  </si>
  <si>
    <t>SOHAIL</t>
  </si>
  <si>
    <t>HAMZA</t>
  </si>
  <si>
    <t>ASLAM</t>
  </si>
  <si>
    <t>FIZA</t>
  </si>
  <si>
    <t>WARSA</t>
  </si>
  <si>
    <t>AVIKA</t>
  </si>
  <si>
    <t>AVERAGE</t>
  </si>
  <si>
    <t>HIGEST</t>
  </si>
  <si>
    <t>LOWEST</t>
  </si>
  <si>
    <t>SHIVAM</t>
  </si>
  <si>
    <t>ROHAN</t>
  </si>
  <si>
    <t>HIMANSHU</t>
  </si>
  <si>
    <t>RIYA</t>
  </si>
  <si>
    <t>RITA</t>
  </si>
  <si>
    <t>AARTI</t>
  </si>
  <si>
    <t>COUNT</t>
  </si>
  <si>
    <t>SUB AVG MATH</t>
  </si>
  <si>
    <t>SUB AVG ENG</t>
  </si>
  <si>
    <t>SUB AVG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</si>
</sst>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TOTAL MARKS COMPARISON</a:t>
            </a:r>
            <a:endParaRPr lang="en-US"/>
          </a:p>
        </c:rich>
      </c:tx>
      <c:layout>
        <c:manualLayout>
          <c:xMode val="edge"/>
          <c:yMode val="edge"/>
          <c:x val="0.255988955137833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2407296490536"/>
          <c:y val="0.19149305555555557"/>
          <c:w val="0.81405611636207809"/>
          <c:h val="0.65110956182560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Sheet1!$A$3:$A$20</c:f>
              <c:strCache>
                <c:ptCount val="15"/>
                <c:pt idx="0">
                  <c:v>AYUSH</c:v>
                </c:pt>
                <c:pt idx="1">
                  <c:v>SHIVAM</c:v>
                </c:pt>
                <c:pt idx="2">
                  <c:v>AARTI</c:v>
                </c:pt>
                <c:pt idx="3">
                  <c:v>ROHAN</c:v>
                </c:pt>
                <c:pt idx="4">
                  <c:v>SOHAIL</c:v>
                </c:pt>
                <c:pt idx="5">
                  <c:v>FIZA</c:v>
                </c:pt>
                <c:pt idx="6">
                  <c:v>WARSA</c:v>
                </c:pt>
                <c:pt idx="7">
                  <c:v>HAMZA</c:v>
                </c:pt>
                <c:pt idx="8">
                  <c:v>ASLAM</c:v>
                </c:pt>
                <c:pt idx="9">
                  <c:v>HIMANSHU</c:v>
                </c:pt>
                <c:pt idx="10">
                  <c:v>AVIKA</c:v>
                </c:pt>
                <c:pt idx="11">
                  <c:v>AMAN</c:v>
                </c:pt>
                <c:pt idx="12">
                  <c:v>RITA</c:v>
                </c:pt>
                <c:pt idx="13">
                  <c:v>RIYA</c:v>
                </c:pt>
                <c:pt idx="14">
                  <c:v>RAHUL</c:v>
                </c:pt>
              </c:strCache>
            </c:strRef>
          </c:cat>
          <c:val>
            <c:numRef>
              <c:f>Sheet1!$E$3:$E$20</c:f>
              <c:numCache>
                <c:formatCode>General</c:formatCode>
                <c:ptCount val="18"/>
                <c:pt idx="0">
                  <c:v>206</c:v>
                </c:pt>
                <c:pt idx="1">
                  <c:v>161</c:v>
                </c:pt>
                <c:pt idx="2">
                  <c:v>153</c:v>
                </c:pt>
                <c:pt idx="3">
                  <c:v>147</c:v>
                </c:pt>
                <c:pt idx="4">
                  <c:v>140</c:v>
                </c:pt>
                <c:pt idx="5">
                  <c:v>133</c:v>
                </c:pt>
                <c:pt idx="6">
                  <c:v>130</c:v>
                </c:pt>
                <c:pt idx="7">
                  <c:v>128</c:v>
                </c:pt>
                <c:pt idx="8">
                  <c:v>120</c:v>
                </c:pt>
                <c:pt idx="9">
                  <c:v>114</c:v>
                </c:pt>
                <c:pt idx="10">
                  <c:v>113</c:v>
                </c:pt>
                <c:pt idx="11">
                  <c:v>109</c:v>
                </c:pt>
                <c:pt idx="12">
                  <c:v>108</c:v>
                </c:pt>
                <c:pt idx="13">
                  <c:v>108</c:v>
                </c:pt>
                <c:pt idx="14">
                  <c:v>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1013008"/>
        <c:axId val="261406016"/>
      </c:barChart>
      <c:catAx>
        <c:axId val="26101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06016"/>
        <c:crosses val="autoZero"/>
        <c:auto val="1"/>
        <c:lblAlgn val="ctr"/>
        <c:lblOffset val="100"/>
        <c:noMultiLvlLbl val="0"/>
      </c:catAx>
      <c:valAx>
        <c:axId val="26140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1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PASS</a:t>
            </a:r>
            <a:r>
              <a:rPr lang="en-IN" baseline="0"/>
              <a:t> VS FAIL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Sheet1!$G$3:$G$17</c:f>
              <c:numCache>
                <c:formatCode>General</c:formatCode>
                <c:ptCount val="15"/>
                <c:pt idx="0">
                  <c:v>10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WISE AVERAGE MARKS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Sheet1!$B$19:$B$20</c:f>
              <c:strCache>
                <c:ptCount val="2"/>
                <c:pt idx="0">
                  <c:v>AVERAGE</c:v>
                </c:pt>
                <c:pt idx="1">
                  <c:v>131.1333333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Sheet1!$A$21:$A$23</c:f>
              <c:strCache>
                <c:ptCount val="3"/>
                <c:pt idx="0">
                  <c:v>SUB AVG MATH</c:v>
                </c:pt>
                <c:pt idx="1">
                  <c:v>SUB AVG ENG</c:v>
                </c:pt>
                <c:pt idx="2">
                  <c:v>SUB AVG SCI</c:v>
                </c:pt>
              </c:strCache>
            </c:strRef>
          </c:cat>
          <c:val>
            <c:numRef>
              <c:f>Sheet1!$B$21:$B$23</c:f>
              <c:numCache>
                <c:formatCode>General</c:formatCode>
                <c:ptCount val="3"/>
                <c:pt idx="0">
                  <c:v>43.711111111111109</c:v>
                </c:pt>
                <c:pt idx="1">
                  <c:v>41.666666666666664</c:v>
                </c:pt>
                <c:pt idx="2">
                  <c:v>44.266666666666666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488544"/>
        <c:axId val="2684858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Sheet1!$C$19:$C$20</c15:sqref>
                        </c15:formulaRef>
                      </c:ext>
                    </c:extLst>
                    <c:strCache>
                      <c:ptCount val="2"/>
                      <c:pt idx="0">
                        <c:v>HIGEST</c:v>
                      </c:pt>
                      <c:pt idx="1">
                        <c:v>206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Sheet1!$A$21:$A$23</c15:sqref>
                        </c15:formulaRef>
                      </c:ext>
                    </c:extLst>
                    <c:strCache>
                      <c:ptCount val="3"/>
                      <c:pt idx="0">
                        <c:v>SUB AVG MATH</c:v>
                      </c:pt>
                      <c:pt idx="1">
                        <c:v>SUB AVG ENG</c:v>
                      </c:pt>
                      <c:pt idx="2">
                        <c:v>SUB AVG SCI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Sheet1!$C$21:$C$23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Sheet1!$D$19:$D$20</c15:sqref>
                        </c15:formulaRef>
                      </c:ext>
                    </c:extLst>
                    <c:strCache>
                      <c:ptCount val="2"/>
                      <c:pt idx="0">
                        <c:v>LOWEST</c:v>
                      </c:pt>
                      <c:pt idx="1">
                        <c:v>97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Sheet1!$A$21:$A$23</c15:sqref>
                        </c15:formulaRef>
                      </c:ext>
                    </c:extLst>
                    <c:strCache>
                      <c:ptCount val="3"/>
                      <c:pt idx="0">
                        <c:v>SUB AVG MATH</c:v>
                      </c:pt>
                      <c:pt idx="1">
                        <c:v>SUB AVG ENG</c:v>
                      </c:pt>
                      <c:pt idx="2">
                        <c:v>SUB AVG SCI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Sheet1!$D$21:$D$23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26848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85824"/>
        <c:crosses val="autoZero"/>
        <c:auto val="1"/>
        <c:lblAlgn val="ctr"/>
        <c:lblOffset val="100"/>
        <c:noMultiLvlLbl val="0"/>
      </c:catAx>
      <c:valAx>
        <c:axId val="2684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0</xdr:row>
      <xdr:rowOff>30480</xdr:rowOff>
    </xdr:from>
    <xdr:to>
      <xdr:col>12</xdr:col>
      <xdr:colOff>541020</xdr:colOff>
      <xdr:row>14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563880</xdr:colOff>
      <xdr:row>0</xdr:row>
      <xdr:rowOff>0</xdr:rowOff>
    </xdr:from>
    <xdr:to>
      <xdr:col>18</xdr:col>
      <xdr:colOff>518160</xdr:colOff>
      <xdr:row>8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861060</xdr:colOff>
      <xdr:row>14</xdr:row>
      <xdr:rowOff>53340</xdr:rowOff>
    </xdr:from>
    <xdr:to>
      <xdr:col>13</xdr:col>
      <xdr:colOff>510540</xdr:colOff>
      <xdr:row>26</xdr:row>
      <xdr:rowOff>144780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tabSelected="1" workbookViewId="0">
      <selection activeCell="Q13" sqref="Q13"/>
    </sheetView>
  </sheetViews>
  <sheetFormatPr defaultRowHeight="14.4" x14ac:dyDescent="0.3"/>
  <cols>
    <col min="1" max="1" width="15.109375" customWidth="1"/>
    <col min="2" max="2" width="14.21875" customWidth="1"/>
    <col min="3" max="3" width="12.88671875" customWidth="1"/>
    <col min="4" max="4" width="14.44140625" customWidth="1"/>
    <col min="5" max="5" width="15.21875" customWidth="1"/>
    <col min="6" max="6" width="14.77734375" customWidth="1"/>
    <col min="7" max="7" width="13" customWidth="1"/>
  </cols>
  <sheetData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24</v>
      </c>
    </row>
    <row r="3" spans="1:7" x14ac:dyDescent="0.3">
      <c r="A3" s="2" t="s">
        <v>7</v>
      </c>
      <c r="B3">
        <v>56</v>
      </c>
      <c r="C3">
        <v>85</v>
      </c>
      <c r="D3">
        <v>65</v>
      </c>
      <c r="E3">
        <f>SUM(B3:D3)</f>
        <v>206</v>
      </c>
      <c r="F3" t="str">
        <f>IF(E2&gt;=120,"Pass","Fail")</f>
        <v>Pass</v>
      </c>
      <c r="G3" s="1">
        <v>10</v>
      </c>
    </row>
    <row r="4" spans="1:7" x14ac:dyDescent="0.3">
      <c r="A4" s="2" t="s">
        <v>18</v>
      </c>
      <c r="B4">
        <v>42</v>
      </c>
      <c r="C4">
        <v>54</v>
      </c>
      <c r="D4">
        <v>65</v>
      </c>
      <c r="E4">
        <f>SUM(B4:D4)</f>
        <v>161</v>
      </c>
      <c r="F4" t="str">
        <f>IF(E3&gt;=120,"Pass","Fail")</f>
        <v>Pass</v>
      </c>
      <c r="G4" s="1">
        <v>5</v>
      </c>
    </row>
    <row r="5" spans="1:7" x14ac:dyDescent="0.3">
      <c r="A5" s="2" t="s">
        <v>23</v>
      </c>
      <c r="B5">
        <v>52</v>
      </c>
      <c r="C5">
        <v>45</v>
      </c>
      <c r="D5">
        <v>56</v>
      </c>
      <c r="E5">
        <f>SUM(B5:D5)</f>
        <v>153</v>
      </c>
      <c r="F5" t="str">
        <f>IF(E4&gt;=120,"Pass","Fail")</f>
        <v>Pass</v>
      </c>
    </row>
    <row r="6" spans="1:7" x14ac:dyDescent="0.3">
      <c r="A6" s="2" t="s">
        <v>19</v>
      </c>
      <c r="B6">
        <v>36</v>
      </c>
      <c r="C6">
        <v>66</v>
      </c>
      <c r="D6">
        <v>45</v>
      </c>
      <c r="E6">
        <f>SUM(B6:D6)</f>
        <v>147</v>
      </c>
      <c r="F6" t="str">
        <f>IF(E5&gt;=120,"Pass","Fail")</f>
        <v>Pass</v>
      </c>
    </row>
    <row r="7" spans="1:7" x14ac:dyDescent="0.3">
      <c r="A7" s="2" t="s">
        <v>9</v>
      </c>
      <c r="B7">
        <v>65</v>
      </c>
      <c r="C7">
        <v>32</v>
      </c>
      <c r="D7">
        <v>43</v>
      </c>
      <c r="E7">
        <f>SUM(B7:D7)</f>
        <v>140</v>
      </c>
      <c r="F7" t="str">
        <f>IF(E6&gt;=120,"Pass","Fail")</f>
        <v>Pass</v>
      </c>
    </row>
    <row r="8" spans="1:7" x14ac:dyDescent="0.3">
      <c r="A8" s="2" t="s">
        <v>12</v>
      </c>
      <c r="B8">
        <v>54</v>
      </c>
      <c r="C8">
        <v>45</v>
      </c>
      <c r="D8">
        <v>34</v>
      </c>
      <c r="E8">
        <f>SUM(B8:D8)</f>
        <v>133</v>
      </c>
      <c r="F8" t="str">
        <f>IF(E7&gt;=120,"Pass","Fail")</f>
        <v>Pass</v>
      </c>
    </row>
    <row r="9" spans="1:7" x14ac:dyDescent="0.3">
      <c r="A9" s="2" t="s">
        <v>13</v>
      </c>
      <c r="B9">
        <v>54</v>
      </c>
      <c r="C9">
        <v>54</v>
      </c>
      <c r="D9">
        <v>22</v>
      </c>
      <c r="E9">
        <f>SUM(B9:D9)</f>
        <v>130</v>
      </c>
      <c r="F9" t="str">
        <f>IF(E8&gt;=120,"Pass","Fail")</f>
        <v>Pass</v>
      </c>
    </row>
    <row r="10" spans="1:7" x14ac:dyDescent="0.3">
      <c r="A10" s="2" t="s">
        <v>10</v>
      </c>
      <c r="B10">
        <v>42</v>
      </c>
      <c r="C10">
        <v>32</v>
      </c>
      <c r="D10">
        <v>54</v>
      </c>
      <c r="E10">
        <f>SUM(B10:D10)</f>
        <v>128</v>
      </c>
      <c r="F10" t="str">
        <f>IF(E9&gt;=120,"Pass","Fail")</f>
        <v>Pass</v>
      </c>
    </row>
    <row r="11" spans="1:7" x14ac:dyDescent="0.3">
      <c r="A11" s="2" t="s">
        <v>11</v>
      </c>
      <c r="B11">
        <v>55</v>
      </c>
      <c r="C11">
        <v>32</v>
      </c>
      <c r="D11">
        <v>33</v>
      </c>
      <c r="E11">
        <f>SUM(B11:D11)</f>
        <v>120</v>
      </c>
      <c r="F11" t="str">
        <f>IF(E10&gt;=120,"Pass","Fail")</f>
        <v>Pass</v>
      </c>
    </row>
    <row r="12" spans="1:7" x14ac:dyDescent="0.3">
      <c r="A12" s="2" t="s">
        <v>20</v>
      </c>
      <c r="B12">
        <v>25</v>
      </c>
      <c r="C12">
        <v>35</v>
      </c>
      <c r="D12">
        <v>54</v>
      </c>
      <c r="E12">
        <f>SUM(B12:D12)</f>
        <v>114</v>
      </c>
      <c r="F12" t="str">
        <f>IF(E11&gt;=120,"Pass","Fail")</f>
        <v>Pass</v>
      </c>
    </row>
    <row r="13" spans="1:7" x14ac:dyDescent="0.3">
      <c r="A13" s="2" t="s">
        <v>14</v>
      </c>
      <c r="B13">
        <v>25</v>
      </c>
      <c r="C13">
        <v>45</v>
      </c>
      <c r="D13">
        <v>43</v>
      </c>
      <c r="E13">
        <f>SUM(B13:D13)</f>
        <v>113</v>
      </c>
      <c r="F13" t="str">
        <f>IF(E12&gt;=120,"Pass","Fail")</f>
        <v>Fail</v>
      </c>
    </row>
    <row r="14" spans="1:7" x14ac:dyDescent="0.3">
      <c r="A14" s="2" t="s">
        <v>6</v>
      </c>
      <c r="B14">
        <v>31</v>
      </c>
      <c r="C14">
        <v>34</v>
      </c>
      <c r="D14">
        <v>44</v>
      </c>
      <c r="E14">
        <f>SUM(B14:D14)</f>
        <v>109</v>
      </c>
      <c r="F14" t="str">
        <f>IF(E13&gt;=120,"Pass","Fail")</f>
        <v>Fail</v>
      </c>
    </row>
    <row r="15" spans="1:7" x14ac:dyDescent="0.3">
      <c r="A15" s="2" t="s">
        <v>22</v>
      </c>
      <c r="B15">
        <v>42</v>
      </c>
      <c r="C15">
        <v>25</v>
      </c>
      <c r="D15">
        <v>41</v>
      </c>
      <c r="E15">
        <f>SUM(B15:D15)</f>
        <v>108</v>
      </c>
      <c r="F15" t="str">
        <f>IF(E14&gt;=120,"Pass","Fail")</f>
        <v>Fail</v>
      </c>
    </row>
    <row r="16" spans="1:7" x14ac:dyDescent="0.3">
      <c r="A16" s="2" t="s">
        <v>21</v>
      </c>
      <c r="B16">
        <v>54</v>
      </c>
      <c r="C16">
        <v>21</v>
      </c>
      <c r="D16">
        <v>33</v>
      </c>
      <c r="E16">
        <f>SUM(B16:D16)</f>
        <v>108</v>
      </c>
      <c r="F16" t="str">
        <f>IF(E15&gt;=120,"Pass","Fail")</f>
        <v>Fail</v>
      </c>
    </row>
    <row r="17" spans="1:6" x14ac:dyDescent="0.3">
      <c r="A17" s="2" t="s">
        <v>8</v>
      </c>
      <c r="B17">
        <v>45</v>
      </c>
      <c r="C17">
        <v>20</v>
      </c>
      <c r="D17">
        <v>32</v>
      </c>
      <c r="E17">
        <f>SUM(B17:D17)</f>
        <v>97</v>
      </c>
      <c r="F17" t="str">
        <f>IF(E16&gt;=120,"Pass","Fail")</f>
        <v>Fail</v>
      </c>
    </row>
    <row r="19" spans="1:6" x14ac:dyDescent="0.3">
      <c r="B19" s="1" t="s">
        <v>15</v>
      </c>
      <c r="C19" s="1" t="s">
        <v>16</v>
      </c>
      <c r="D19" s="1" t="s">
        <v>17</v>
      </c>
    </row>
    <row r="20" spans="1:6" x14ac:dyDescent="0.3">
      <c r="B20">
        <f xml:space="preserve"> AVERAGE(E2:E17)</f>
        <v>131.13333333333333</v>
      </c>
      <c r="C20">
        <f>MAX(E3:E17)</f>
        <v>206</v>
      </c>
      <c r="D20">
        <f>MIN(E3:E17)</f>
        <v>97</v>
      </c>
    </row>
    <row r="21" spans="1:6" x14ac:dyDescent="0.3">
      <c r="A21" t="s">
        <v>25</v>
      </c>
      <c r="B21">
        <f>AVERAGE(B2:B17,C2:C17,D2:D17)</f>
        <v>43.711111111111109</v>
      </c>
    </row>
    <row r="22" spans="1:6" x14ac:dyDescent="0.3">
      <c r="A22" t="s">
        <v>26</v>
      </c>
      <c r="B22">
        <f>AVERAGE(C2:C17)</f>
        <v>41.666666666666664</v>
      </c>
    </row>
    <row r="23" spans="1:6" x14ac:dyDescent="0.3">
      <c r="A23" t="s">
        <v>27</v>
      </c>
      <c r="B23">
        <f>AVERAGE(D2:D17)</f>
        <v>44.266666666666666</v>
      </c>
    </row>
  </sheetData>
  <sortState ref="A3:F17">
    <sortCondition descending="1" ref="E3:E1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dixit</dc:creator>
  <cp:lastModifiedBy>Ayush dixit</cp:lastModifiedBy>
  <dcterms:created xsi:type="dcterms:W3CDTF">2026-04-14T05:04:21Z</dcterms:created>
  <dcterms:modified xsi:type="dcterms:W3CDTF">2026-04-14T06:15:47Z</dcterms:modified>
</cp:coreProperties>
</file>